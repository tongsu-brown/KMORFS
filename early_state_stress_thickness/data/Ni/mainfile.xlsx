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08" yWindow="-108" windowWidth="11016" windowHeight="18696" tabRatio="600" firstSheet="0" activeTab="0" autoFilterDateGrouping="1"/>
  </bookViews>
  <sheets>
    <sheet name="Sheet1" sheetId="1" state="visible" r:id="rId1"/>
    <sheet name="short" sheetId="2" state="visible" r:id="rId2"/>
    <sheet name="lo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R9" sqref="R9"/>
    </sheetView>
  </sheetViews>
  <sheetFormatPr baseColWidth="8" defaultColWidth="9" defaultRowHeight="14.4"/>
  <cols>
    <col width="28" customWidth="1" min="1" max="1"/>
    <col width="11.6640625" customWidth="1" min="6" max="7"/>
  </cols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s="2" t="n">
        <v>18</v>
      </c>
      <c r="S1" s="2" t="n">
        <v>19</v>
      </c>
      <c r="T1" s="2" t="n">
        <v>20</v>
      </c>
    </row>
    <row r="2">
      <c r="C2" t="inlineStr">
        <is>
          <t>Initial Conditions</t>
        </is>
      </c>
      <c r="D2" t="inlineStr">
        <is>
          <t>SigmaC</t>
        </is>
      </c>
      <c r="E2" t="inlineStr">
        <is>
          <t>Sigma0</t>
        </is>
      </c>
      <c r="F2" t="inlineStr">
        <is>
          <t>BetaD</t>
        </is>
      </c>
      <c r="G2" t="inlineStr">
        <is>
          <t>Ea</t>
        </is>
      </c>
      <c r="H2" t="inlineStr">
        <is>
          <t>Mfda</t>
        </is>
      </c>
      <c r="I2" t="inlineStr">
        <is>
          <t>L_nul</t>
        </is>
      </c>
      <c r="J2" t="inlineStr">
        <is>
          <t>K0</t>
        </is>
      </c>
      <c r="K2" s="3" t="inlineStr">
        <is>
          <t>alpha2</t>
        </is>
      </c>
      <c r="L2" s="3" t="inlineStr">
        <is>
          <t>alpha1</t>
        </is>
      </c>
      <c r="M2" s="3" t="inlineStr">
        <is>
          <t>Di</t>
        </is>
      </c>
      <c r="N2" s="3" t="inlineStr">
        <is>
          <t>P0</t>
        </is>
      </c>
      <c r="O2" s="3" t="inlineStr">
        <is>
          <t>A prime</t>
        </is>
      </c>
      <c r="P2" s="3" t="inlineStr">
        <is>
          <t>B prime</t>
        </is>
      </c>
      <c r="Q2" s="3" t="inlineStr">
        <is>
          <t>L prime</t>
        </is>
      </c>
      <c r="R2" s="3" t="inlineStr">
        <is>
          <t>Grain size</t>
        </is>
      </c>
      <c r="S2" s="3" t="inlineStr">
        <is>
          <t>K1</t>
        </is>
      </c>
      <c r="T2" s="3" t="inlineStr">
        <is>
          <t>Compsition</t>
        </is>
      </c>
    </row>
    <row r="3">
      <c r="C3" t="inlineStr">
        <is>
          <t>Common(0) or Float(1)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2" t="n">
        <v>1</v>
      </c>
      <c r="S3" s="2" t="n">
        <v>0</v>
      </c>
      <c r="T3" s="2" t="n">
        <v>0</v>
      </c>
    </row>
    <row r="4">
      <c r="C4" t="inlineStr">
        <is>
          <t>Variability</t>
        </is>
      </c>
      <c r="D4" t="n">
        <v>100</v>
      </c>
      <c r="E4" t="n">
        <v>10</v>
      </c>
      <c r="F4" t="n">
        <v>2</v>
      </c>
      <c r="G4" t="n">
        <v>2</v>
      </c>
      <c r="H4" t="n">
        <v>0.8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" t="n">
        <v>1</v>
      </c>
      <c r="S4" s="3" t="n">
        <v>0</v>
      </c>
      <c r="T4" s="3" t="n">
        <v>0</v>
      </c>
    </row>
    <row r="5">
      <c r="A5" t="inlineStr">
        <is>
          <t>Ni_300_Yu_2014.xlsx</t>
        </is>
      </c>
      <c r="B5" t="n">
        <v>2</v>
      </c>
      <c r="C5" t="n">
        <v>27</v>
      </c>
      <c r="D5" s="1" t="n">
        <v>-1.000209</v>
      </c>
      <c r="E5" s="1" t="n">
        <v>1.034118</v>
      </c>
      <c r="F5" s="1" t="n">
        <v>2.265001</v>
      </c>
      <c r="G5" s="1" t="n">
        <v>0.156328</v>
      </c>
      <c r="H5" t="n">
        <v>8.589465000000001</v>
      </c>
      <c r="I5" t="n">
        <v>0.703548</v>
      </c>
      <c r="J5" t="n">
        <v>0</v>
      </c>
      <c r="K5" t="n">
        <v>0</v>
      </c>
      <c r="L5" s="1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" t="n">
        <v>147.353229</v>
      </c>
      <c r="S5" s="2" t="n">
        <v>0</v>
      </c>
      <c r="T5" s="2" t="n">
        <v>0</v>
      </c>
    </row>
    <row r="6">
      <c r="A6" t="inlineStr">
        <is>
          <t>Ni_333_Yu_2014.xlsx</t>
        </is>
      </c>
      <c r="B6" t="n">
        <v>2</v>
      </c>
      <c r="C6" t="n">
        <v>27</v>
      </c>
      <c r="D6" s="1" t="n">
        <v>-0.719899</v>
      </c>
      <c r="E6" s="1" t="n">
        <v>1.034118</v>
      </c>
      <c r="F6" s="1" t="n">
        <v>2.265001</v>
      </c>
      <c r="G6" s="1" t="n">
        <v>0.156328</v>
      </c>
      <c r="H6" t="n">
        <v>8.589465000000001</v>
      </c>
      <c r="I6" t="n">
        <v>0.8206830000000001</v>
      </c>
      <c r="J6" t="n">
        <v>0</v>
      </c>
      <c r="K6" t="n">
        <v>0</v>
      </c>
      <c r="L6" s="1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" t="n">
        <v>159.778126</v>
      </c>
      <c r="S6" s="2" t="n">
        <v>0</v>
      </c>
      <c r="T6" s="2" t="n">
        <v>0</v>
      </c>
    </row>
    <row r="7">
      <c r="A7" t="inlineStr">
        <is>
          <t>Ni_373_Yu_2014.xlsx</t>
        </is>
      </c>
      <c r="B7" t="n">
        <v>2</v>
      </c>
      <c r="C7" t="n">
        <v>31</v>
      </c>
      <c r="D7" s="1" t="n">
        <v>-0.500318</v>
      </c>
      <c r="E7" s="1" t="n">
        <v>1.034118</v>
      </c>
      <c r="F7" s="1" t="n">
        <v>2.265001</v>
      </c>
      <c r="G7" s="1" t="n">
        <v>0.156328</v>
      </c>
      <c r="H7" t="n">
        <v>8.589465000000001</v>
      </c>
      <c r="I7" t="n">
        <v>1.083298</v>
      </c>
      <c r="J7" t="n">
        <v>0</v>
      </c>
      <c r="K7" t="n">
        <v>0</v>
      </c>
      <c r="L7" s="1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" t="n">
        <v>175.973682</v>
      </c>
      <c r="S7" s="2" t="n">
        <v>0</v>
      </c>
      <c r="T7" s="2" t="n">
        <v>0</v>
      </c>
    </row>
    <row r="8">
      <c r="A8" t="inlineStr">
        <is>
          <t>Ni_398_Yu_2014.xlsx</t>
        </is>
      </c>
      <c r="B8" t="n">
        <v>2</v>
      </c>
      <c r="C8" t="n">
        <v>28</v>
      </c>
      <c r="D8" s="1" t="n">
        <v>-0.434601</v>
      </c>
      <c r="E8" s="1" t="n">
        <v>1.034118</v>
      </c>
      <c r="F8" s="1" t="n">
        <v>2.265001</v>
      </c>
      <c r="G8" s="1" t="n">
        <v>0.156328</v>
      </c>
      <c r="H8" t="n">
        <v>8.589465000000001</v>
      </c>
      <c r="I8" t="n">
        <v>1.21472</v>
      </c>
      <c r="J8" t="n">
        <v>0</v>
      </c>
      <c r="K8" t="n">
        <v>0</v>
      </c>
      <c r="L8" s="1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" t="n">
        <v>187.533079</v>
      </c>
      <c r="S8" s="2" t="n">
        <v>0</v>
      </c>
      <c r="T8" s="2" t="n">
        <v>0</v>
      </c>
    </row>
    <row r="9">
      <c r="A9" t="inlineStr">
        <is>
          <t>Ni_423_Yu_2014.xlsx</t>
        </is>
      </c>
      <c r="B9" t="n">
        <v>2</v>
      </c>
      <c r="C9" t="n">
        <v>35</v>
      </c>
      <c r="D9" s="1" t="n">
        <v>-0.408909</v>
      </c>
      <c r="E9" s="1" t="n">
        <v>1.034118</v>
      </c>
      <c r="F9" s="1" t="n">
        <v>2.265001</v>
      </c>
      <c r="G9" s="1" t="n">
        <v>0.156328</v>
      </c>
      <c r="H9" t="n">
        <v>8.589465000000001</v>
      </c>
      <c r="I9" t="n">
        <v>1.279271</v>
      </c>
      <c r="J9" t="n">
        <v>0</v>
      </c>
      <c r="K9" t="n">
        <v>0</v>
      </c>
      <c r="L9" s="1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2" t="n">
        <v>196.350191</v>
      </c>
      <c r="S9" s="2" t="n">
        <v>0</v>
      </c>
      <c r="T9" s="2" t="n">
        <v>0</v>
      </c>
    </row>
    <row r="10">
      <c r="A10" t="inlineStr">
        <is>
          <t>Ni_473_Yu_2014_new.xlsx</t>
        </is>
      </c>
      <c r="B10" t="n">
        <v>2</v>
      </c>
      <c r="C10" t="n">
        <v>38</v>
      </c>
      <c r="D10" s="1" t="n">
        <v>-0.387146</v>
      </c>
      <c r="E10" s="1" t="n">
        <v>1.034118</v>
      </c>
      <c r="F10" s="1" t="n">
        <v>2.265001</v>
      </c>
      <c r="G10" s="1" t="n">
        <v>0.156328</v>
      </c>
      <c r="H10" t="n">
        <v>8.589465000000001</v>
      </c>
      <c r="I10" t="n">
        <v>1.474267</v>
      </c>
      <c r="J10" t="n">
        <v>0</v>
      </c>
      <c r="K10" t="n">
        <v>0</v>
      </c>
      <c r="L10" s="1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2" t="n">
        <v>253.313811</v>
      </c>
      <c r="S10" s="2" t="n">
        <v>0</v>
      </c>
      <c r="T10" s="2" t="n">
        <v>0</v>
      </c>
    </row>
    <row r="11">
      <c r="D11" s="1" t="n"/>
      <c r="E11" s="1" t="n"/>
      <c r="F11" s="1" t="n"/>
      <c r="G11" s="1" t="n"/>
      <c r="L11" s="1" t="n"/>
      <c r="R11" s="2" t="n"/>
      <c r="S11" s="2" t="n"/>
      <c r="T11" s="2" t="n"/>
    </row>
    <row r="12">
      <c r="M12" s="2" t="n"/>
      <c r="N12" s="2" t="n"/>
      <c r="R12" s="2" t="n"/>
      <c r="S12" s="2" t="n"/>
      <c r="T12" s="2" t="n"/>
    </row>
    <row r="13">
      <c r="R13" s="2" t="n"/>
      <c r="S13" s="2" t="n"/>
      <c r="T13" s="2" t="n"/>
    </row>
    <row r="14">
      <c r="M14" s="2" t="n"/>
      <c r="N14" s="2" t="n"/>
      <c r="R14" s="2" t="n"/>
      <c r="S14" s="2" t="n"/>
      <c r="T14" s="2" t="n"/>
    </row>
    <row r="15">
      <c r="R15" s="2" t="n"/>
      <c r="S15" s="2" t="n"/>
      <c r="T15" s="2" t="n"/>
    </row>
    <row r="16">
      <c r="M16" s="2" t="n"/>
      <c r="N16" s="2" t="n"/>
      <c r="R16" s="2" t="n"/>
      <c r="S16" s="2" t="n"/>
      <c r="T16" s="2" t="n"/>
    </row>
    <row r="17">
      <c r="R17" s="2" t="n"/>
      <c r="S17" s="2" t="n"/>
      <c r="T17" s="2" t="n"/>
    </row>
    <row r="18">
      <c r="M18" s="2" t="n"/>
      <c r="N18" s="2" t="n"/>
      <c r="R18" s="2" t="n"/>
      <c r="S18" s="2" t="n"/>
      <c r="T18" s="2" t="n"/>
    </row>
    <row r="19">
      <c r="R19" s="2" t="n"/>
      <c r="S19" s="2" t="n"/>
      <c r="T19" s="2" t="n"/>
    </row>
    <row r="20">
      <c r="M20" s="2" t="n"/>
      <c r="N20" s="2" t="n"/>
      <c r="R20" s="2" t="n"/>
      <c r="S20" s="2" t="n"/>
      <c r="T20" s="2" t="n"/>
    </row>
    <row r="21">
      <c r="R21" s="2" t="n"/>
      <c r="S21" s="2" t="n"/>
      <c r="T21" s="2" t="n"/>
    </row>
    <row r="22">
      <c r="M22" s="2" t="n"/>
      <c r="N22" s="2" t="n"/>
      <c r="R22" s="2" t="n"/>
      <c r="S22" s="2" t="n"/>
      <c r="T22" s="2" t="n"/>
    </row>
    <row r="23">
      <c r="R23" s="2" t="n"/>
      <c r="S23" s="2" t="n"/>
      <c r="T2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F11" sqref="F11"/>
    </sheetView>
  </sheetViews>
  <sheetFormatPr baseColWidth="8" defaultColWidth="9" defaultRowHeight="14.4"/>
  <sheetData>
    <row r="1">
      <c r="A1" t="inlineStr">
        <is>
          <t>Ni_300_Yu_2014.xlsx</t>
        </is>
      </c>
      <c r="B1" t="n">
        <v>2</v>
      </c>
      <c r="C1" t="n">
        <v>27</v>
      </c>
      <c r="D1" s="1" t="n">
        <v>-5</v>
      </c>
      <c r="E1" s="1" t="n">
        <v>15</v>
      </c>
      <c r="F1" s="1" t="n">
        <v>1.55602030910609</v>
      </c>
      <c r="G1" s="1" t="n">
        <v>0.133849054224827</v>
      </c>
      <c r="H1" t="n">
        <v>19</v>
      </c>
      <c r="I1" t="n">
        <v>10</v>
      </c>
      <c r="J1" t="n">
        <v>0</v>
      </c>
      <c r="K1" t="n">
        <v>0</v>
      </c>
      <c r="L1" s="1" t="n">
        <v>0.01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s="2" t="n">
        <v>0</v>
      </c>
      <c r="S1" s="2" t="n">
        <v>0</v>
      </c>
      <c r="T1" s="2" t="n">
        <v>0</v>
      </c>
    </row>
    <row r="2">
      <c r="A2" t="inlineStr">
        <is>
          <t>Ni_333_Yu_2014.xlsx</t>
        </is>
      </c>
      <c r="B2" t="n">
        <v>2</v>
      </c>
      <c r="C2" t="n">
        <v>27</v>
      </c>
      <c r="D2" s="1" t="n">
        <v>-5</v>
      </c>
      <c r="E2" s="1" t="n">
        <v>15</v>
      </c>
      <c r="F2" s="1" t="n">
        <v>1.55602030910609</v>
      </c>
      <c r="G2" s="1" t="n">
        <v>0.133849054224827</v>
      </c>
      <c r="H2" t="n">
        <v>19</v>
      </c>
      <c r="I2" t="n">
        <v>10</v>
      </c>
      <c r="J2" t="n">
        <v>0</v>
      </c>
      <c r="K2" t="n">
        <v>0</v>
      </c>
      <c r="L2" s="1" t="n">
        <v>0.01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0</v>
      </c>
      <c r="S2" s="2" t="n">
        <v>0</v>
      </c>
      <c r="T2" s="2" t="n">
        <v>0</v>
      </c>
    </row>
    <row r="3">
      <c r="A3" t="inlineStr">
        <is>
          <t>Ni_373_Yu_2014.xlsx</t>
        </is>
      </c>
      <c r="B3" t="n">
        <v>2</v>
      </c>
      <c r="C3" t="n">
        <v>31</v>
      </c>
      <c r="D3" s="1" t="n">
        <v>-5</v>
      </c>
      <c r="E3" s="1" t="n">
        <v>15</v>
      </c>
      <c r="F3" s="1" t="n">
        <v>1.55602030910609</v>
      </c>
      <c r="G3" s="1" t="n">
        <v>0.133849054224827</v>
      </c>
      <c r="H3" t="n">
        <v>19</v>
      </c>
      <c r="I3" t="n">
        <v>10</v>
      </c>
      <c r="J3" t="n">
        <v>0</v>
      </c>
      <c r="K3" t="n">
        <v>0</v>
      </c>
      <c r="L3" s="1" t="n">
        <v>0.01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2" t="n">
        <v>0</v>
      </c>
      <c r="S3" s="2" t="n">
        <v>0</v>
      </c>
      <c r="T3" s="2" t="n">
        <v>0</v>
      </c>
    </row>
    <row r="4">
      <c r="A4" t="inlineStr">
        <is>
          <t>Ni_398_Yu_2014.xlsx</t>
        </is>
      </c>
      <c r="B4" t="n">
        <v>2</v>
      </c>
      <c r="C4" t="n">
        <v>28</v>
      </c>
      <c r="D4" s="1" t="n">
        <v>-5</v>
      </c>
      <c r="E4" s="1" t="n">
        <v>15</v>
      </c>
      <c r="F4" s="1" t="n">
        <v>1.55602030910609</v>
      </c>
      <c r="G4" s="1" t="n">
        <v>0.133849054224827</v>
      </c>
      <c r="H4" t="n">
        <v>19</v>
      </c>
      <c r="I4" t="n">
        <v>10</v>
      </c>
      <c r="J4" t="n">
        <v>0</v>
      </c>
      <c r="K4" t="n">
        <v>0</v>
      </c>
      <c r="L4" s="1" t="n">
        <v>0.01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" t="n">
        <v>0</v>
      </c>
      <c r="S4" s="2" t="n">
        <v>0</v>
      </c>
      <c r="T4" s="2" t="n">
        <v>0</v>
      </c>
    </row>
    <row r="5">
      <c r="A5" t="inlineStr">
        <is>
          <t>Ni_423_Yu_2014.xlsx</t>
        </is>
      </c>
      <c r="B5" t="n">
        <v>2</v>
      </c>
      <c r="C5" t="n">
        <v>35</v>
      </c>
      <c r="D5" s="1" t="n">
        <v>-5</v>
      </c>
      <c r="E5" s="1" t="n">
        <v>15</v>
      </c>
      <c r="F5" s="1" t="n">
        <v>1.55602030910609</v>
      </c>
      <c r="G5" s="1" t="n">
        <v>0.133849054224827</v>
      </c>
      <c r="H5" t="n">
        <v>19</v>
      </c>
      <c r="I5" t="n">
        <v>10</v>
      </c>
      <c r="J5" t="n">
        <v>0</v>
      </c>
      <c r="K5" t="n">
        <v>0</v>
      </c>
      <c r="L5" s="1" t="n">
        <v>0.01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" t="n">
        <v>0</v>
      </c>
      <c r="S5" s="2" t="n">
        <v>0</v>
      </c>
      <c r="T5" s="2" t="n">
        <v>0</v>
      </c>
    </row>
    <row r="6">
      <c r="A6" t="inlineStr">
        <is>
          <t>Ni_473_Yu_2014_new.xlsx</t>
        </is>
      </c>
      <c r="B6" t="n">
        <v>2</v>
      </c>
      <c r="C6" t="n">
        <v>38</v>
      </c>
      <c r="D6" s="1" t="n">
        <v>-5</v>
      </c>
      <c r="E6" s="1" t="n">
        <v>15</v>
      </c>
      <c r="F6" s="1" t="n">
        <v>1.55602030910609</v>
      </c>
      <c r="G6" s="1" t="n">
        <v>0.133849054224827</v>
      </c>
      <c r="H6" t="n">
        <v>19</v>
      </c>
      <c r="I6" t="n">
        <v>10</v>
      </c>
      <c r="J6" t="n">
        <v>0</v>
      </c>
      <c r="K6" t="n">
        <v>0</v>
      </c>
      <c r="L6" s="1" t="n">
        <v>0.01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" t="n">
        <v>0</v>
      </c>
      <c r="S6" s="2" t="n">
        <v>0</v>
      </c>
      <c r="T6" s="2" t="n">
        <v>0</v>
      </c>
    </row>
    <row r="7">
      <c r="A7" t="inlineStr">
        <is>
          <t>Nickel_300_Koch_2010.xlsx</t>
        </is>
      </c>
      <c r="B7" t="n">
        <v>2</v>
      </c>
      <c r="C7" t="n">
        <v>27</v>
      </c>
      <c r="D7" s="1" t="n">
        <v>-5</v>
      </c>
      <c r="E7" s="1" t="n">
        <v>15</v>
      </c>
      <c r="F7" s="1" t="n">
        <v>1.55602030910609</v>
      </c>
      <c r="G7" s="1" t="n">
        <v>0.133849054224827</v>
      </c>
      <c r="H7" t="n">
        <v>19</v>
      </c>
      <c r="I7" t="n">
        <v>10</v>
      </c>
      <c r="J7" t="n">
        <v>0</v>
      </c>
      <c r="K7" t="n">
        <v>0</v>
      </c>
      <c r="L7" s="1" t="n">
        <v>0.01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" t="n">
        <v>0</v>
      </c>
      <c r="S7" s="2" t="n">
        <v>0</v>
      </c>
      <c r="T7" s="2" t="n">
        <v>0</v>
      </c>
    </row>
    <row r="8">
      <c r="A8" t="inlineStr">
        <is>
          <t>evp_Ni_p08_373K_Yu_2014.xlsx</t>
        </is>
      </c>
      <c r="B8" t="n">
        <v>2</v>
      </c>
      <c r="C8" t="n">
        <v>80</v>
      </c>
      <c r="D8" s="1" t="n">
        <v>-5</v>
      </c>
      <c r="E8" s="1" t="n">
        <v>15</v>
      </c>
      <c r="F8" s="1" t="n">
        <v>1.55602030910609</v>
      </c>
      <c r="G8" s="1" t="n">
        <v>0.133849054224827</v>
      </c>
      <c r="H8" t="n">
        <v>19</v>
      </c>
      <c r="I8" t="n">
        <v>10</v>
      </c>
      <c r="J8" t="n">
        <v>0</v>
      </c>
      <c r="K8" t="n">
        <v>0</v>
      </c>
      <c r="L8" s="1" t="n">
        <v>0.01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" t="n">
        <v>0</v>
      </c>
      <c r="S8" s="2" t="n">
        <v>0</v>
      </c>
      <c r="T8" s="2" t="n">
        <v>0</v>
      </c>
    </row>
    <row r="9">
      <c r="A9" t="inlineStr">
        <is>
          <t>evp_Ni_p25_373K_Yu_2014.xlsx</t>
        </is>
      </c>
      <c r="B9" t="n">
        <v>2</v>
      </c>
      <c r="C9" t="n">
        <v>67</v>
      </c>
      <c r="D9" s="1" t="n">
        <v>-5</v>
      </c>
      <c r="E9" s="1" t="n">
        <v>15</v>
      </c>
      <c r="F9" s="1" t="n">
        <v>1.55602030910609</v>
      </c>
      <c r="G9" s="1" t="n">
        <v>0.133849054224827</v>
      </c>
      <c r="H9" t="n">
        <v>19</v>
      </c>
      <c r="I9" t="n">
        <v>10</v>
      </c>
      <c r="J9" t="n">
        <v>0</v>
      </c>
      <c r="K9" t="n">
        <v>0</v>
      </c>
      <c r="L9" s="1" t="n">
        <v>0.01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2" t="n">
        <v>0</v>
      </c>
      <c r="S9" s="2" t="n">
        <v>0</v>
      </c>
      <c r="T9" s="2" t="n">
        <v>0</v>
      </c>
    </row>
    <row r="11">
      <c r="A11" t="n">
        <v>27</v>
      </c>
      <c r="B11" t="n">
        <v>29</v>
      </c>
      <c r="E11">
        <f>ROUND(F11/3*2,0)</f>
        <v/>
      </c>
      <c r="F11" t="n">
        <v>27</v>
      </c>
    </row>
    <row r="12">
      <c r="A12" t="n">
        <v>27</v>
      </c>
      <c r="B12" t="n">
        <v>29</v>
      </c>
      <c r="E12">
        <f>ROUND(F12/3*2,0)</f>
        <v/>
      </c>
      <c r="F12" t="n">
        <v>27</v>
      </c>
    </row>
    <row r="13">
      <c r="A13" t="n">
        <v>32</v>
      </c>
      <c r="B13" t="n">
        <v>34</v>
      </c>
      <c r="E13">
        <f>ROUND(F13/3*2,0)</f>
        <v/>
      </c>
      <c r="F13" t="n">
        <v>31</v>
      </c>
    </row>
    <row r="14">
      <c r="A14" t="n">
        <v>37</v>
      </c>
      <c r="B14" t="n">
        <v>39</v>
      </c>
      <c r="E14">
        <f>ROUND(F14/3*2,0)</f>
        <v/>
      </c>
      <c r="F14" t="n">
        <v>28</v>
      </c>
    </row>
    <row r="15">
      <c r="A15" t="n">
        <v>43</v>
      </c>
      <c r="B15" t="n">
        <v>45</v>
      </c>
      <c r="E15">
        <f>ROUND(F15/3*2,0)</f>
        <v/>
      </c>
      <c r="F15" t="n">
        <v>35</v>
      </c>
    </row>
    <row r="16">
      <c r="A16" t="n">
        <v>39</v>
      </c>
      <c r="B16" t="n">
        <v>54</v>
      </c>
      <c r="E16">
        <f>ROUND(F16/3*2,0)</f>
        <v/>
      </c>
      <c r="F16" t="n">
        <v>38</v>
      </c>
    </row>
    <row r="17">
      <c r="A17" t="n">
        <v>65</v>
      </c>
      <c r="B17" t="n">
        <v>67</v>
      </c>
    </row>
    <row r="19">
      <c r="A19" t="inlineStr">
        <is>
          <t>Ni_300_Yu_2014.xlsx</t>
        </is>
      </c>
      <c r="E19" t="n">
        <v>18</v>
      </c>
    </row>
    <row r="20">
      <c r="A20" t="inlineStr">
        <is>
          <t>Ni_333_Yu_2014.xlsx</t>
        </is>
      </c>
      <c r="E20" t="n">
        <v>18</v>
      </c>
    </row>
    <row r="21">
      <c r="A21" t="inlineStr">
        <is>
          <t>Ni_373_Yu_2014.xlsx</t>
        </is>
      </c>
      <c r="E21" t="n">
        <v>19</v>
      </c>
    </row>
    <row r="22">
      <c r="A22" t="inlineStr">
        <is>
          <t>Ni_398_Yu_2014.xlsx</t>
        </is>
      </c>
      <c r="E22" t="n">
        <v>17</v>
      </c>
    </row>
    <row r="23">
      <c r="A23" t="inlineStr">
        <is>
          <t>Ni_423_Yu_2014.xlsx</t>
        </is>
      </c>
      <c r="E23" t="n">
        <v>20</v>
      </c>
    </row>
    <row r="24">
      <c r="A24" t="inlineStr">
        <is>
          <t>Ni_473_Yu_2014_new.xlsx</t>
        </is>
      </c>
      <c r="E24" t="n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664062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2026-02-18T17:50:11Z</dcterms:modified>
  <cp:lastModifiedBy>Su, Tong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A002D93F30184868B7FE2779294E4A35_12</vt:lpwstr>
  </property>
  <property name="KSOProductBuildVer" fmtid="{D5CDD505-2E9C-101B-9397-08002B2CF9AE}" pid="3">
    <vt:lpwstr>2052-12.1.0.20305</vt:lpwstr>
  </property>
</Properties>
</file>